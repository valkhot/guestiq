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uestIQ Research Project\"/>
    </mc:Choice>
  </mc:AlternateContent>
  <xr:revisionPtr revIDLastSave="0" documentId="8_{E1EE2940-A0D1-458B-87D5-B27C6DFE548B}" xr6:coauthVersionLast="47" xr6:coauthVersionMax="47" xr10:uidLastSave="{00000000-0000-0000-0000-000000000000}"/>
  <bookViews>
    <workbookView xWindow="-110" yWindow="-110" windowWidth="25820" windowHeight="15500" tabRatio="500" activeTab="4" xr2:uid="{00000000-000D-0000-FFFF-FFFF00000000}"/>
  </bookViews>
  <sheets>
    <sheet name="Dashboard" sheetId="1" r:id="rId1"/>
    <sheet name="Burndown" sheetId="2" r:id="rId2"/>
    <sheet name="Sprint Log" sheetId="3" r:id="rId3"/>
    <sheet name="Defect Tracker" sheetId="4" r:id="rId4"/>
    <sheet name="Retrospective 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4" l="1"/>
  <c r="D15" i="4"/>
  <c r="D14" i="4"/>
  <c r="D13" i="4"/>
  <c r="D12" i="4"/>
  <c r="G15" i="3"/>
  <c r="F15" i="3"/>
  <c r="D15" i="3"/>
  <c r="E15" i="3" s="1"/>
  <c r="C15" i="3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23" i="1"/>
  <c r="B22" i="1"/>
  <c r="B21" i="1"/>
  <c r="B20" i="1"/>
  <c r="B19" i="1"/>
  <c r="B18" i="1"/>
  <c r="B17" i="1"/>
  <c r="G13" i="1"/>
  <c r="F13" i="1"/>
  <c r="D13" i="1"/>
  <c r="C13" i="1"/>
  <c r="B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H13" i="1" s="1"/>
  <c r="D6" i="1"/>
</calcChain>
</file>

<file path=xl/sharedStrings.xml><?xml version="1.0" encoding="utf-8"?>
<sst xmlns="http://schemas.openxmlformats.org/spreadsheetml/2006/main" count="214" uniqueCount="159">
  <si>
    <t>GuestIQ — Sprint Analytics Dashboard</t>
  </si>
  <si>
    <t>14-Week Prototype Project  ·  Sprints 0–6  ·  Lead Researcher Dashboard</t>
  </si>
  <si>
    <t xml:space="preserve">  SECTION 1 — SPRINT VELOCITY</t>
  </si>
  <si>
    <t>Sprint</t>
  </si>
  <si>
    <t>Planned SP</t>
  </si>
  <si>
    <t>Completed SP</t>
  </si>
  <si>
    <t>Velocity</t>
  </si>
  <si>
    <t>Goal Met?</t>
  </si>
  <si>
    <t>Pipeline Runs</t>
  </si>
  <si>
    <t>Pipeline Failures</t>
  </si>
  <si>
    <t>Fix Cycles</t>
  </si>
  <si>
    <t>Sprint 0</t>
  </si>
  <si>
    <t>Sprint 1</t>
  </si>
  <si>
    <t>Sprint 2</t>
  </si>
  <si>
    <t>Yes</t>
  </si>
  <si>
    <t>Sprint 3</t>
  </si>
  <si>
    <t>Sprint 4</t>
  </si>
  <si>
    <t>Sprint 5</t>
  </si>
  <si>
    <t>Sprint 6</t>
  </si>
  <si>
    <t>TOTALS / AVERAGE</t>
  </si>
  <si>
    <t xml:space="preserve">  SECTION 2 — SPRINT GOAL ACHIEVEMENT RATE</t>
  </si>
  <si>
    <t>Metric</t>
  </si>
  <si>
    <t>Value</t>
  </si>
  <si>
    <t>Notes</t>
  </si>
  <si>
    <t>Sprints completed</t>
  </si>
  <si>
    <t>Updates automatically as sprint data is entered</t>
  </si>
  <si>
    <t>Goals achieved</t>
  </si>
  <si>
    <t>Count of sprints where Goal Met = Yes</t>
  </si>
  <si>
    <t>Goals missed</t>
  </si>
  <si>
    <t>Count of sprints where Goal Met = No</t>
  </si>
  <si>
    <t>Achievement rate</t>
  </si>
  <si>
    <t>% of completed sprints where goal was fully met</t>
  </si>
  <si>
    <t>Average velocity</t>
  </si>
  <si>
    <t>Average story points completed per sprint</t>
  </si>
  <si>
    <t>Total pipeline runs</t>
  </si>
  <si>
    <t>Total GitHub Actions workflow runs across all sprints</t>
  </si>
  <si>
    <t>Pipeline success rate</t>
  </si>
  <si>
    <t>% of pipeline runs that deployed successfully</t>
  </si>
  <si>
    <t xml:space="preserve">  HOW TO USE THIS TRACKER</t>
  </si>
  <si>
    <t>After each sprint</t>
  </si>
  <si>
    <t>Go to the 'Sprint Log' sheet. Fill in the completed SP, goal achieved, pipeline runs, and pipeline failures for that sprint. This sheet auto-calculates everything.</t>
  </si>
  <si>
    <t>Blue cells</t>
  </si>
  <si>
    <t>Blue text = input cells you fill in manually. Black text = formulas that calculate automatically. Never edit formula cells.</t>
  </si>
  <si>
    <t>Amber cells</t>
  </si>
  <si>
    <t>Amber background = not yet filled in. Green background = data entered. Fill in as each sprint completes.</t>
  </si>
  <si>
    <t>Burndown sheet</t>
  </si>
  <si>
    <t>Go to 'Burndown' sheet after each working session and log story points remaining. The chart updates automatically.</t>
  </si>
  <si>
    <t>Escaped defects</t>
  </si>
  <si>
    <t>Go to 'Defects' sheet and log any bugs found in production (valkhot.github.io/guestiq) that were not caught during the sprint.</t>
  </si>
  <si>
    <t>GuestIQ — Sprint Burndown Chart</t>
  </si>
  <si>
    <t>Log story points remaining after each working session. Chart updates automatically.</t>
  </si>
  <si>
    <t>Currently tracking: Sprint 2 (26 SP planned)</t>
  </si>
  <si>
    <t>Day / Session</t>
  </si>
  <si>
    <t>Ideal Remaining SP</t>
  </si>
  <si>
    <t>Actual Remaining SP</t>
  </si>
  <si>
    <t>% Complete</t>
  </si>
  <si>
    <t>Day 1 — Project setup</t>
  </si>
  <si>
    <t>S2-04 started</t>
  </si>
  <si>
    <t>Day 2</t>
  </si>
  <si>
    <t>Day 3 — First deployment</t>
  </si>
  <si>
    <t>S2-04, S2-05 complete</t>
  </si>
  <si>
    <t>Day 4</t>
  </si>
  <si>
    <t>Day 5 — Sentry + PostHog</t>
  </si>
  <si>
    <t>S2-02, S2-03 complete</t>
  </si>
  <si>
    <t>Day 6</t>
  </si>
  <si>
    <t>Day 7 — Welcome screen</t>
  </si>
  <si>
    <t>S2-06, S2-18 complete</t>
  </si>
  <si>
    <t>Day 8</t>
  </si>
  <si>
    <t>Day 9 — Q0 + tense frame</t>
  </si>
  <si>
    <t>S2-07, S2-08 complete</t>
  </si>
  <si>
    <t>Day 10</t>
  </si>
  <si>
    <t>Day 11 — Module 1</t>
  </si>
  <si>
    <t>S2-09 complete</t>
  </si>
  <si>
    <t>Day 12</t>
  </si>
  <si>
    <t>Day 13 — Modules 2-4</t>
  </si>
  <si>
    <t>S2-10 complete</t>
  </si>
  <si>
    <t>Day 14 — Sprint close</t>
  </si>
  <si>
    <t>Sprint 2 complete</t>
  </si>
  <si>
    <t>GuestIQ — Detailed Sprint Log</t>
  </si>
  <si>
    <t>Complete one row per story per sprint. Blue cells = enter data. Black cells = auto-calculated.</t>
  </si>
  <si>
    <t>Story ID &amp; Name</t>
  </si>
  <si>
    <t>Status</t>
  </si>
  <si>
    <t>Days Taken</t>
  </si>
  <si>
    <t>Blocked?</t>
  </si>
  <si>
    <t>S2</t>
  </si>
  <si>
    <t>S2-04 React PWA project structure</t>
  </si>
  <si>
    <t>Done</t>
  </si>
  <si>
    <t>No</t>
  </si>
  <si>
    <t>First green pipeline run #13</t>
  </si>
  <si>
    <t>S2-05 Verify deployment to GitHub Pages</t>
  </si>
  <si>
    <t>10 pipeline runs to green</t>
  </si>
  <si>
    <t>S2-02 Sentry initialization</t>
  </si>
  <si>
    <t>Included in main.jsx init</t>
  </si>
  <si>
    <t>S2-03 PostHog initialization</t>
  </si>
  <si>
    <t>app_loaded events confirmed</t>
  </si>
  <si>
    <t>S2-06 Unified welcome screen</t>
  </si>
  <si>
    <t>3 tier cards + hook text</t>
  </si>
  <si>
    <t>S2-18 Privacy notice</t>
  </si>
  <si>
    <t>Combined with S2-06</t>
  </si>
  <si>
    <t>S2-07 Q0 tense routing</t>
  </si>
  <si>
    <t>Session creation + Supabase write</t>
  </si>
  <si>
    <t>S2-08 Tense frame engine</t>
  </si>
  <si>
    <t>Verified — no code change needed</t>
  </si>
  <si>
    <t>S2-09 Module 1 questions Q1-Q9</t>
  </si>
  <si>
    <t>intent_category + none_flags live</t>
  </si>
  <si>
    <t>S2-10 Modules 2-4 Q10-Q38</t>
  </si>
  <si>
    <t>scale_5 type added</t>
  </si>
  <si>
    <t>10 stories</t>
  </si>
  <si>
    <t>Sprint 2 — all 10 stories delivered</t>
  </si>
  <si>
    <t>GuestIQ — Escaped Defect Tracker</t>
  </si>
  <si>
    <t>Log bugs found in production (valkhot.github.io/guestiq) that were NOT caught during the sprint build and pipeline.</t>
  </si>
  <si>
    <t>#</t>
  </si>
  <si>
    <t>Sprint Found</t>
  </si>
  <si>
    <t>Description</t>
  </si>
  <si>
    <t>Severity</t>
  </si>
  <si>
    <t>Found By</t>
  </si>
  <si>
    <t>Fixed In Sprint</t>
  </si>
  <si>
    <t>Resolution</t>
  </si>
  <si>
    <t>Prevention Note</t>
  </si>
  <si>
    <t>autoFocus prop on text input — ESLint error</t>
  </si>
  <si>
    <t>Low</t>
  </si>
  <si>
    <t>Pipeline</t>
  </si>
  <si>
    <t>Removed autoFocus attribute</t>
  </si>
  <si>
    <t>ESLint jsx-a11y catches this — pipeline working correctly</t>
  </si>
  <si>
    <t>multi_select question type not registered in renderer</t>
  </si>
  <si>
    <t>Medium</t>
  </si>
  <si>
    <t>Lead Researcher</t>
  </si>
  <si>
    <t>Added multi_select to QUESTION_RENDERERS map</t>
  </si>
  <si>
    <t>Add new question types to renderer map when adding to questionnaire.js</t>
  </si>
  <si>
    <t xml:space="preserve">  DEFECT SUMMARY</t>
  </si>
  <si>
    <t>Total escaped defects</t>
  </si>
  <si>
    <t>High severity</t>
  </si>
  <si>
    <t>Medium severity</t>
  </si>
  <si>
    <t>Low severity</t>
  </si>
  <si>
    <t>Resolved</t>
  </si>
  <si>
    <t>GuestIQ — Sprint Retrospective Log</t>
  </si>
  <si>
    <t>Record retrospective feedback and whether improvement actions were implemented in the next sprint.</t>
  </si>
  <si>
    <t>Category</t>
  </si>
  <si>
    <t>Observation</t>
  </si>
  <si>
    <t>Action Agreed</t>
  </si>
  <si>
    <t>Implemented?</t>
  </si>
  <si>
    <t>What Worked</t>
  </si>
  <si>
    <t>Pipeline quality gate (ESLint + Prettier) caught errors before production</t>
  </si>
  <si>
    <t>Continue using same pipeline structure in Sprint 3</t>
  </si>
  <si>
    <t>Supabase data flowing from day one — real-time validation of data writes</t>
  </si>
  <si>
    <t>Maintain practice of verifying Supabase after each story</t>
  </si>
  <si>
    <t>File-by-file delivery made changes trackable and reversible</t>
  </si>
  <si>
    <t>Continue same delivery pattern</t>
  </si>
  <si>
    <t>Improve</t>
  </si>
  <si>
    <t>Pipeline fix cycles high (10 failures / 14 runs) — ESLint/Prettier issues took time</t>
  </si>
  <si>
    <t>AI to run format check before providing files. Use PowerShell patch commands less.</t>
  </si>
  <si>
    <t>—</t>
  </si>
  <si>
    <t>Lead Researcher needs more explanation of what each file does and why</t>
  </si>
  <si>
    <t>AI to provide plain-English explanation before each story build in Sprint 3</t>
  </si>
  <si>
    <t>File replacement process between AI outputs and local PC caused errors (wrong folder, missing dot prefix)</t>
  </si>
  <si>
    <t>AI to provide clearer file destination instructions. Use direct PowerShell commands where possible.</t>
  </si>
  <si>
    <t>Action Item</t>
  </si>
  <si>
    <t>UX issues noted: auto-advance, Other layout, disabled button — formal refinement note raised</t>
  </si>
  <si>
    <t>Implement two-step selection + Continue button in Sprint 3 question component rebuild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</si>
</sst>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777777"/>
      <name val="Arial"/>
      <charset val="1"/>
    </font>
    <font>
      <b/>
      <sz val="11"/>
      <color rgb="FFFFFFFF"/>
      <name val="Arial"/>
      <charset val="1"/>
    </font>
    <font>
      <b/>
      <sz val="10"/>
      <color rgb="FF1B3A6B"/>
      <name val="Arial"/>
      <charset val="1"/>
    </font>
    <font>
      <sz val="10"/>
      <color rgb="FF3D3D3D"/>
      <name val="Arial"/>
      <charset val="1"/>
    </font>
    <font>
      <sz val="10"/>
      <color rgb="FF0000FF"/>
      <name val="Arial"/>
      <charset val="1"/>
    </font>
    <font>
      <sz val="10"/>
      <color rgb="FF777777"/>
      <name val="Arial"/>
      <charset val="1"/>
    </font>
    <font>
      <b/>
      <sz val="10"/>
      <color rgb="FF0000FF"/>
      <name val="Arial"/>
      <charset val="1"/>
    </font>
    <font>
      <b/>
      <sz val="10"/>
      <color rgb="FF166534"/>
      <name val="Arial"/>
      <charset val="1"/>
    </font>
    <font>
      <b/>
      <sz val="10"/>
      <color rgb="FFFFFFFF"/>
      <name val="Arial"/>
      <charset val="1"/>
    </font>
    <font>
      <b/>
      <sz val="11"/>
      <color rgb="FF1B3A6B"/>
      <name val="Arial"/>
      <charset val="1"/>
    </font>
    <font>
      <i/>
      <sz val="9"/>
      <color rgb="FF777777"/>
      <name val="Arial"/>
      <charset val="1"/>
    </font>
    <font>
      <b/>
      <sz val="14"/>
      <color rgb="FFFFFFFF"/>
      <name val="Arial"/>
      <charset val="1"/>
    </font>
    <font>
      <b/>
      <sz val="10"/>
      <color rgb="FF7A5C00"/>
      <name val="Arial"/>
      <charset val="1"/>
    </font>
    <font>
      <sz val="10"/>
      <color rgb="FF1B3A6B"/>
      <name val="Arial"/>
      <charset val="1"/>
    </font>
    <font>
      <sz val="10"/>
      <color rgb="FF4A6FA5"/>
      <name val="Arial"/>
      <charset val="1"/>
    </font>
    <font>
      <sz val="10"/>
      <color rgb="FF166534"/>
      <name val="Arial"/>
      <charset val="1"/>
    </font>
    <font>
      <b/>
      <sz val="10"/>
      <color rgb="FF777777"/>
      <name val="Arial"/>
      <charset val="1"/>
    </font>
    <font>
      <b/>
      <sz val="10"/>
      <color rgb="FFEA580C"/>
      <name val="Arial"/>
      <charset val="1"/>
    </font>
    <font>
      <sz val="10"/>
      <color rgb="FFF5F6F8"/>
      <name val="Arial"/>
      <charset val="1"/>
    </font>
    <font>
      <b/>
      <sz val="10"/>
      <color rgb="FF4A6FA5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5F6F8"/>
        <bgColor rgb="FFEAF1FB"/>
      </patternFill>
    </fill>
    <fill>
      <patternFill patternType="solid">
        <fgColor rgb="FFFFFFFF"/>
        <bgColor rgb="FFF5F6F8"/>
      </patternFill>
    </fill>
    <fill>
      <patternFill patternType="solid">
        <fgColor rgb="FFEAF1FB"/>
        <bgColor rgb="FFF5F6F8"/>
      </patternFill>
    </fill>
    <fill>
      <patternFill patternType="solid">
        <fgColor rgb="FFFFF8E1"/>
        <bgColor rgb="FFF5F6F8"/>
      </patternFill>
    </fill>
    <fill>
      <patternFill patternType="solid">
        <fgColor rgb="FFDCFCE7"/>
        <bgColor rgb="FFEAF1FB"/>
      </patternFill>
    </fill>
    <fill>
      <patternFill patternType="solid">
        <fgColor rgb="FFFEE2E2"/>
        <bgColor rgb="FFFFF8E1"/>
      </patternFill>
    </fill>
    <fill>
      <patternFill patternType="solid">
        <fgColor rgb="FF4A6FA5"/>
        <bgColor rgb="FF777777"/>
      </patternFill>
    </fill>
  </fills>
  <borders count="4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A5C00"/>
      </left>
      <right style="thin">
        <color rgb="FF7A5C00"/>
      </right>
      <top style="thin">
        <color rgb="FF7A5C00"/>
      </top>
      <bottom style="thin">
        <color rgb="FF7A5C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5" borderId="2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4" borderId="0" xfId="0" applyFill="1"/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1" fillId="5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9" fontId="5" fillId="3" borderId="2" xfId="0" applyNumberFormat="1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9" fontId="5" fillId="4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7A5C00"/>
      <rgbColor rgb="FF800080"/>
      <rgbColor rgb="FF008080"/>
      <rgbColor rgb="FFCCCCCC"/>
      <rgbColor rgb="FF878787"/>
      <rgbColor rgb="FF9999FF"/>
      <rgbColor rgb="FF993366"/>
      <rgbColor rgb="FFFFF8E1"/>
      <rgbColor rgb="FFDCFC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F5F6F8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EA580C"/>
      <rgbColor rgb="FF4A6FA5"/>
      <rgbColor rgb="FF777777"/>
      <rgbColor rgb="FF1B3A6B"/>
      <rgbColor rgb="FF16A34A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Sprint 2 Burndown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Burndown!$B$6</c:f>
              <c:strCache>
                <c:ptCount val="1"/>
                <c:pt idx="0">
                  <c:v>Ideal Remaining SP</c:v>
                </c:pt>
              </c:strCache>
            </c:strRef>
          </c:tx>
          <c:spPr>
            <a:ln w="15120">
              <a:solidFill>
                <a:srgbClr val="4A6F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Burndown!$B$7:$B$20</c:f>
              <c:numCache>
                <c:formatCode>General</c:formatCode>
                <c:ptCount val="14"/>
                <c:pt idx="0">
                  <c:v>26</c:v>
                </c:pt>
                <c:pt idx="1">
                  <c:v>24.1</c:v>
                </c:pt>
                <c:pt idx="2">
                  <c:v>22.3</c:v>
                </c:pt>
                <c:pt idx="3">
                  <c:v>20.399999999999999</c:v>
                </c:pt>
                <c:pt idx="4">
                  <c:v>18.600000000000001</c:v>
                </c:pt>
                <c:pt idx="5">
                  <c:v>16.7</c:v>
                </c:pt>
                <c:pt idx="6">
                  <c:v>14.9</c:v>
                </c:pt>
                <c:pt idx="7">
                  <c:v>13</c:v>
                </c:pt>
                <c:pt idx="8">
                  <c:v>11.1</c:v>
                </c:pt>
                <c:pt idx="9">
                  <c:v>9.3000000000000007</c:v>
                </c:pt>
                <c:pt idx="10">
                  <c:v>7.4</c:v>
                </c:pt>
                <c:pt idx="11">
                  <c:v>5.6</c:v>
                </c:pt>
                <c:pt idx="12">
                  <c:v>3.7</c:v>
                </c:pt>
                <c:pt idx="13">
                  <c:v>1.9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3E-425F-AF90-644A5DE86C70}"/>
            </c:ext>
          </c:extLst>
        </c:ser>
        <c:ser>
          <c:idx val="1"/>
          <c:order val="1"/>
          <c:tx>
            <c:strRef>
              <c:f>Burndown!$C$6</c:f>
              <c:strCache>
                <c:ptCount val="1"/>
                <c:pt idx="0">
                  <c:v>Actual Remaining SP</c:v>
                </c:pt>
              </c:strCache>
            </c:strRef>
          </c:tx>
          <c:spPr>
            <a:ln w="20160">
              <a:solidFill>
                <a:srgbClr val="16A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Burndown!$C$7:$C$20</c:f>
              <c:numCache>
                <c:formatCode>General</c:formatCode>
                <c:ptCount val="14"/>
                <c:pt idx="0">
                  <c:v>26</c:v>
                </c:pt>
                <c:pt idx="1">
                  <c:v>26</c:v>
                </c:pt>
                <c:pt idx="2">
                  <c:v>21</c:v>
                </c:pt>
                <c:pt idx="3">
                  <c:v>21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3E-425F-AF90-644A5DE86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571966"/>
        <c:axId val="46811516"/>
      </c:lineChart>
      <c:catAx>
        <c:axId val="355719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811516"/>
        <c:crosses val="autoZero"/>
        <c:auto val="1"/>
        <c:lblAlgn val="ctr"/>
        <c:lblOffset val="100"/>
        <c:noMultiLvlLbl val="0"/>
      </c:catAx>
      <c:valAx>
        <c:axId val="468115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Story Points Remaining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71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77760</xdr:rowOff>
    </xdr:from>
    <xdr:to>
      <xdr:col>5</xdr:col>
      <xdr:colOff>573120</xdr:colOff>
      <xdr:row>44</xdr:row>
      <xdr:rowOff>15120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opLeftCell="A8" zoomScaleNormal="100" workbookViewId="0">
      <selection sqref="A1:H1"/>
    </sheetView>
  </sheetViews>
  <sheetFormatPr defaultColWidth="8.6328125" defaultRowHeight="14.5" x14ac:dyDescent="0.35"/>
  <cols>
    <col min="1" max="1" width="28" customWidth="1"/>
    <col min="2" max="8" width="14" customWidth="1"/>
  </cols>
  <sheetData>
    <row r="1" spans="1:8" ht="36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</row>
    <row r="2" spans="1:8" ht="18" customHeight="1" x14ac:dyDescent="0.35">
      <c r="A2" s="10" t="s">
        <v>1</v>
      </c>
      <c r="B2" s="10"/>
      <c r="C2" s="10"/>
      <c r="D2" s="10"/>
      <c r="E2" s="10"/>
      <c r="F2" s="10"/>
      <c r="G2" s="10"/>
      <c r="H2" s="10"/>
    </row>
    <row r="3" spans="1:8" ht="6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21.75" customHeight="1" x14ac:dyDescent="0.35">
      <c r="A4" s="9" t="s">
        <v>2</v>
      </c>
      <c r="B4" s="9"/>
      <c r="C4" s="9"/>
      <c r="D4" s="9"/>
      <c r="E4" s="9"/>
      <c r="F4" s="9"/>
      <c r="G4" s="9"/>
      <c r="H4" s="9"/>
    </row>
    <row r="5" spans="1:8" ht="31.5" customHeight="1" x14ac:dyDescent="0.3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 spans="1:8" ht="15" customHeight="1" x14ac:dyDescent="0.35">
      <c r="A6" s="14" t="s">
        <v>11</v>
      </c>
      <c r="B6" s="15">
        <v>18</v>
      </c>
      <c r="C6" s="16"/>
      <c r="D6" s="15" t="str">
        <f>IF(C6="","—",C6)</f>
        <v>—</v>
      </c>
      <c r="E6" s="17"/>
      <c r="F6" s="15"/>
      <c r="G6" s="15"/>
      <c r="H6" s="15" t="str">
        <f t="shared" ref="H6:H12" si="0">IF(OR(F6="",G6=""),"—",F6-G6)</f>
        <v>—</v>
      </c>
    </row>
    <row r="7" spans="1:8" ht="15" customHeight="1" x14ac:dyDescent="0.35">
      <c r="A7" s="14" t="s">
        <v>12</v>
      </c>
      <c r="B7" s="18">
        <v>22</v>
      </c>
      <c r="C7" s="16"/>
      <c r="D7" s="18" t="str">
        <f>IF(C7="","—",C7)</f>
        <v>—</v>
      </c>
      <c r="E7" s="17"/>
      <c r="F7" s="18"/>
      <c r="G7" s="18"/>
      <c r="H7" s="18" t="str">
        <f t="shared" si="0"/>
        <v>—</v>
      </c>
    </row>
    <row r="8" spans="1:8" ht="15" customHeight="1" x14ac:dyDescent="0.35">
      <c r="A8" s="14" t="s">
        <v>13</v>
      </c>
      <c r="B8" s="15">
        <v>26</v>
      </c>
      <c r="C8" s="19">
        <v>26</v>
      </c>
      <c r="D8" s="15">
        <f>C8</f>
        <v>26</v>
      </c>
      <c r="E8" s="20" t="s">
        <v>14</v>
      </c>
      <c r="F8" s="15">
        <v>14</v>
      </c>
      <c r="G8" s="21">
        <v>10</v>
      </c>
      <c r="H8" s="15">
        <f t="shared" si="0"/>
        <v>4</v>
      </c>
    </row>
    <row r="9" spans="1:8" ht="15" customHeight="1" x14ac:dyDescent="0.35">
      <c r="A9" s="14" t="s">
        <v>15</v>
      </c>
      <c r="B9" s="18">
        <v>35</v>
      </c>
      <c r="C9" s="16"/>
      <c r="D9" s="18" t="str">
        <f>IF(C9="","—",C9)</f>
        <v>—</v>
      </c>
      <c r="E9" s="17"/>
      <c r="F9" s="18"/>
      <c r="G9" s="18"/>
      <c r="H9" s="18" t="str">
        <f t="shared" si="0"/>
        <v>—</v>
      </c>
    </row>
    <row r="10" spans="1:8" ht="15" customHeight="1" x14ac:dyDescent="0.35">
      <c r="A10" s="14" t="s">
        <v>16</v>
      </c>
      <c r="B10" s="15">
        <v>28</v>
      </c>
      <c r="C10" s="16"/>
      <c r="D10" s="15" t="str">
        <f>IF(C10="","—",C10)</f>
        <v>—</v>
      </c>
      <c r="E10" s="17"/>
      <c r="F10" s="15"/>
      <c r="G10" s="15"/>
      <c r="H10" s="15" t="str">
        <f t="shared" si="0"/>
        <v>—</v>
      </c>
    </row>
    <row r="11" spans="1:8" ht="15" customHeight="1" x14ac:dyDescent="0.35">
      <c r="A11" s="14" t="s">
        <v>17</v>
      </c>
      <c r="B11" s="18">
        <v>18</v>
      </c>
      <c r="C11" s="16"/>
      <c r="D11" s="18" t="str">
        <f>IF(C11="","—",C11)</f>
        <v>—</v>
      </c>
      <c r="E11" s="17"/>
      <c r="F11" s="18"/>
      <c r="G11" s="18"/>
      <c r="H11" s="18" t="str">
        <f t="shared" si="0"/>
        <v>—</v>
      </c>
    </row>
    <row r="12" spans="1:8" ht="15" customHeight="1" x14ac:dyDescent="0.35">
      <c r="A12" s="14" t="s">
        <v>18</v>
      </c>
      <c r="B12" s="15">
        <v>12</v>
      </c>
      <c r="C12" s="16"/>
      <c r="D12" s="15" t="str">
        <f>IF(C12="","—",C12)</f>
        <v>—</v>
      </c>
      <c r="E12" s="17"/>
      <c r="F12" s="15"/>
      <c r="G12" s="15"/>
      <c r="H12" s="15" t="str">
        <f t="shared" si="0"/>
        <v>—</v>
      </c>
    </row>
    <row r="13" spans="1:8" ht="21.75" customHeight="1" x14ac:dyDescent="0.35">
      <c r="A13" s="22" t="s">
        <v>19</v>
      </c>
      <c r="B13" s="23">
        <f>SUM(B6:B12)</f>
        <v>159</v>
      </c>
      <c r="C13" s="23">
        <f>IF(COUNTA(C6:C12)=0,"—",SUM(C6:C12))</f>
        <v>26</v>
      </c>
      <c r="D13" s="23">
        <f>IF(COUNTA(C6:C12)=0,"—",AVERAGE(C6:C12))</f>
        <v>26</v>
      </c>
      <c r="E13" s="24"/>
      <c r="F13" s="23">
        <f>IF(COUNTA(F6:F12)=0,"—",SUM(F6:F12))</f>
        <v>14</v>
      </c>
      <c r="G13" s="23">
        <f>IF(COUNTA(G6:G12)=0,"—",SUM(G6:G12))</f>
        <v>10</v>
      </c>
      <c r="H13" s="23">
        <f>IF(COUNTA(H6:H12)=0,"—",SUM(H6:H12))</f>
        <v>4</v>
      </c>
    </row>
    <row r="14" spans="1:8" ht="6" customHeight="1" x14ac:dyDescent="0.35">
      <c r="A14" s="12"/>
      <c r="B14" s="12"/>
      <c r="C14" s="12"/>
      <c r="D14" s="12"/>
      <c r="E14" s="12"/>
      <c r="F14" s="12"/>
      <c r="G14" s="12"/>
      <c r="H14" s="12"/>
    </row>
    <row r="15" spans="1:8" ht="21.75" customHeight="1" x14ac:dyDescent="0.35">
      <c r="A15" s="9" t="s">
        <v>20</v>
      </c>
      <c r="B15" s="9"/>
      <c r="C15" s="9"/>
      <c r="D15" s="9"/>
      <c r="E15" s="9"/>
      <c r="F15" s="9"/>
      <c r="G15" s="9"/>
      <c r="H15" s="9"/>
    </row>
    <row r="16" spans="1:8" ht="25.5" customHeight="1" x14ac:dyDescent="0.35">
      <c r="A16" s="13" t="s">
        <v>21</v>
      </c>
      <c r="B16" s="13" t="s">
        <v>22</v>
      </c>
      <c r="C16" s="8" t="s">
        <v>23</v>
      </c>
      <c r="D16" s="8"/>
      <c r="E16" s="8"/>
      <c r="F16" s="8"/>
      <c r="G16" s="8"/>
      <c r="H16" s="8"/>
    </row>
    <row r="17" spans="1:8" ht="15" customHeight="1" x14ac:dyDescent="0.35">
      <c r="A17" s="14" t="s">
        <v>24</v>
      </c>
      <c r="B17" s="25">
        <f>COUNTA(E6:E12)-COUNTIF(E6:E12,"—")</f>
        <v>1</v>
      </c>
      <c r="C17" s="7" t="s">
        <v>25</v>
      </c>
      <c r="D17" s="7"/>
      <c r="E17" s="7"/>
      <c r="F17" s="7"/>
      <c r="G17" s="7"/>
      <c r="H17" s="7"/>
    </row>
    <row r="18" spans="1:8" ht="15" customHeight="1" x14ac:dyDescent="0.35">
      <c r="A18" s="14" t="s">
        <v>26</v>
      </c>
      <c r="B18" s="25">
        <f>COUNTIF(E6:E12,"Yes")</f>
        <v>1</v>
      </c>
      <c r="C18" s="6" t="s">
        <v>27</v>
      </c>
      <c r="D18" s="6"/>
      <c r="E18" s="6"/>
      <c r="F18" s="6"/>
      <c r="G18" s="6"/>
      <c r="H18" s="6"/>
    </row>
    <row r="19" spans="1:8" ht="15" customHeight="1" x14ac:dyDescent="0.35">
      <c r="A19" s="14" t="s">
        <v>28</v>
      </c>
      <c r="B19" s="25">
        <f>COUNTIF(E6:E12,"No")</f>
        <v>0</v>
      </c>
      <c r="C19" s="7" t="s">
        <v>29</v>
      </c>
      <c r="D19" s="7"/>
      <c r="E19" s="7"/>
      <c r="F19" s="7"/>
      <c r="G19" s="7"/>
      <c r="H19" s="7"/>
    </row>
    <row r="20" spans="1:8" ht="15" customHeight="1" x14ac:dyDescent="0.35">
      <c r="A20" s="14" t="s">
        <v>30</v>
      </c>
      <c r="B20" s="28">
        <f>IF(COUNTA(E6:E12)=0,"—",COUNTIF(E6:E12,"Yes")/COUNTA(E6:E12))</f>
        <v>1</v>
      </c>
      <c r="C20" s="6" t="s">
        <v>31</v>
      </c>
      <c r="D20" s="6"/>
      <c r="E20" s="6"/>
      <c r="F20" s="6"/>
      <c r="G20" s="6"/>
      <c r="H20" s="6"/>
    </row>
    <row r="21" spans="1:8" ht="15" customHeight="1" x14ac:dyDescent="0.35">
      <c r="A21" s="14" t="s">
        <v>32</v>
      </c>
      <c r="B21" s="25">
        <f>IFERROR(AVERAGEIF(C6:C12,"&lt;&gt;",C6:C12),"—")</f>
        <v>26</v>
      </c>
      <c r="C21" s="7" t="s">
        <v>33</v>
      </c>
      <c r="D21" s="7"/>
      <c r="E21" s="7"/>
      <c r="F21" s="7"/>
      <c r="G21" s="7"/>
      <c r="H21" s="7"/>
    </row>
    <row r="22" spans="1:8" ht="15" customHeight="1" x14ac:dyDescent="0.35">
      <c r="A22" s="14" t="s">
        <v>34</v>
      </c>
      <c r="B22" s="25">
        <f>IF(COUNTA(F6:F12)=0,"—",SUM(F6:F12))</f>
        <v>14</v>
      </c>
      <c r="C22" s="6" t="s">
        <v>35</v>
      </c>
      <c r="D22" s="6"/>
      <c r="E22" s="6"/>
      <c r="F22" s="6"/>
      <c r="G22" s="6"/>
      <c r="H22" s="6"/>
    </row>
    <row r="23" spans="1:8" ht="15" customHeight="1" x14ac:dyDescent="0.35">
      <c r="A23" s="14" t="s">
        <v>36</v>
      </c>
      <c r="B23" s="28">
        <f>IF(SUM(F6:F12)=0,"—",(SUM(F6:F12)-SUM(G6:G12))/SUM(F6:F12))</f>
        <v>0.2857142857142857</v>
      </c>
      <c r="C23" s="7" t="s">
        <v>37</v>
      </c>
      <c r="D23" s="7"/>
      <c r="E23" s="7"/>
      <c r="F23" s="7"/>
      <c r="G23" s="7"/>
      <c r="H23" s="7"/>
    </row>
    <row r="24" spans="1:8" ht="6" customHeight="1" x14ac:dyDescent="0.35">
      <c r="A24" s="12"/>
      <c r="B24" s="12"/>
      <c r="C24" s="12"/>
      <c r="D24" s="12"/>
      <c r="E24" s="12"/>
      <c r="F24" s="12"/>
      <c r="G24" s="12"/>
      <c r="H24" s="12"/>
    </row>
    <row r="25" spans="1:8" ht="21.75" customHeight="1" x14ac:dyDescent="0.35">
      <c r="A25" s="9" t="s">
        <v>38</v>
      </c>
      <c r="B25" s="9"/>
      <c r="C25" s="9"/>
      <c r="D25" s="9"/>
      <c r="E25" s="9"/>
      <c r="F25" s="9"/>
      <c r="G25" s="9"/>
      <c r="H25" s="9"/>
    </row>
    <row r="26" spans="1:8" ht="27.75" customHeight="1" x14ac:dyDescent="0.35">
      <c r="A26" s="29" t="s">
        <v>39</v>
      </c>
      <c r="B26" s="5" t="s">
        <v>40</v>
      </c>
      <c r="C26" s="5"/>
      <c r="D26" s="5"/>
      <c r="E26" s="5"/>
      <c r="F26" s="5"/>
      <c r="G26" s="5"/>
      <c r="H26" s="5"/>
    </row>
    <row r="27" spans="1:8" ht="27.75" customHeight="1" x14ac:dyDescent="0.35">
      <c r="A27" s="29" t="s">
        <v>41</v>
      </c>
      <c r="B27" s="4" t="s">
        <v>42</v>
      </c>
      <c r="C27" s="4"/>
      <c r="D27" s="4"/>
      <c r="E27" s="4"/>
      <c r="F27" s="4"/>
      <c r="G27" s="4"/>
      <c r="H27" s="4"/>
    </row>
    <row r="28" spans="1:8" ht="27.75" customHeight="1" x14ac:dyDescent="0.35">
      <c r="A28" s="29" t="s">
        <v>43</v>
      </c>
      <c r="B28" s="5" t="s">
        <v>44</v>
      </c>
      <c r="C28" s="5"/>
      <c r="D28" s="5"/>
      <c r="E28" s="5"/>
      <c r="F28" s="5"/>
      <c r="G28" s="5"/>
      <c r="H28" s="5"/>
    </row>
    <row r="29" spans="1:8" ht="27.75" customHeight="1" x14ac:dyDescent="0.35">
      <c r="A29" s="29" t="s">
        <v>45</v>
      </c>
      <c r="B29" s="4" t="s">
        <v>46</v>
      </c>
      <c r="C29" s="4"/>
      <c r="D29" s="4"/>
      <c r="E29" s="4"/>
      <c r="F29" s="4"/>
      <c r="G29" s="4"/>
      <c r="H29" s="4"/>
    </row>
    <row r="30" spans="1:8" ht="27.75" customHeight="1" x14ac:dyDescent="0.35">
      <c r="A30" s="29" t="s">
        <v>47</v>
      </c>
      <c r="B30" s="5" t="s">
        <v>48</v>
      </c>
      <c r="C30" s="5"/>
      <c r="D30" s="5"/>
      <c r="E30" s="5"/>
      <c r="F30" s="5"/>
      <c r="G30" s="5"/>
      <c r="H30" s="5"/>
    </row>
  </sheetData>
  <mergeCells count="18">
    <mergeCell ref="B28:H28"/>
    <mergeCell ref="B29:H29"/>
    <mergeCell ref="B30:H30"/>
    <mergeCell ref="C22:H22"/>
    <mergeCell ref="C23:H23"/>
    <mergeCell ref="A25:H25"/>
    <mergeCell ref="B26:H26"/>
    <mergeCell ref="B27:H27"/>
    <mergeCell ref="C17:H17"/>
    <mergeCell ref="C18:H18"/>
    <mergeCell ref="C19:H19"/>
    <mergeCell ref="C20:H20"/>
    <mergeCell ref="C21:H21"/>
    <mergeCell ref="A1:H1"/>
    <mergeCell ref="A2:H2"/>
    <mergeCell ref="A4:H4"/>
    <mergeCell ref="A15:H15"/>
    <mergeCell ref="C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topLeftCell="A13" zoomScaleNormal="100" workbookViewId="0">
      <selection sqref="A1:E1"/>
    </sheetView>
  </sheetViews>
  <sheetFormatPr defaultColWidth="8.6328125" defaultRowHeight="14.5" x14ac:dyDescent="0.35"/>
  <cols>
    <col min="1" max="1" width="22" customWidth="1"/>
    <col min="2" max="4" width="16" customWidth="1"/>
    <col min="5" max="5" width="24" customWidth="1"/>
  </cols>
  <sheetData>
    <row r="1" spans="1:5" ht="30" customHeight="1" x14ac:dyDescent="0.35">
      <c r="A1" s="3" t="s">
        <v>49</v>
      </c>
      <c r="B1" s="3"/>
      <c r="C1" s="3"/>
      <c r="D1" s="3"/>
      <c r="E1" s="3"/>
    </row>
    <row r="2" spans="1:5" ht="18" customHeight="1" x14ac:dyDescent="0.35">
      <c r="A2" s="10" t="s">
        <v>50</v>
      </c>
      <c r="B2" s="10"/>
      <c r="C2" s="10"/>
      <c r="D2" s="10"/>
      <c r="E2" s="10"/>
    </row>
    <row r="3" spans="1:5" ht="6" customHeight="1" x14ac:dyDescent="0.35">
      <c r="A3" s="12"/>
      <c r="B3" s="12"/>
      <c r="C3" s="12"/>
      <c r="D3" s="12"/>
      <c r="E3" s="12"/>
    </row>
    <row r="4" spans="1:5" ht="15" customHeight="1" x14ac:dyDescent="0.35">
      <c r="A4" s="2" t="s">
        <v>51</v>
      </c>
      <c r="B4" s="2"/>
      <c r="C4" s="2"/>
      <c r="D4" s="2"/>
      <c r="E4" s="2"/>
    </row>
    <row r="5" spans="1:5" ht="6" customHeight="1" x14ac:dyDescent="0.35">
      <c r="A5" s="12"/>
      <c r="B5" s="12"/>
      <c r="C5" s="12"/>
      <c r="D5" s="12"/>
      <c r="E5" s="12"/>
    </row>
    <row r="6" spans="1:5" ht="27.75" customHeight="1" x14ac:dyDescent="0.35">
      <c r="A6" s="13" t="s">
        <v>52</v>
      </c>
      <c r="B6" s="13" t="s">
        <v>53</v>
      </c>
      <c r="C6" s="13" t="s">
        <v>54</v>
      </c>
      <c r="D6" s="13" t="s">
        <v>55</v>
      </c>
      <c r="E6" s="13" t="s">
        <v>23</v>
      </c>
    </row>
    <row r="7" spans="1:5" ht="15" customHeight="1" x14ac:dyDescent="0.35">
      <c r="A7" s="32" t="s">
        <v>56</v>
      </c>
      <c r="B7" s="33">
        <v>26</v>
      </c>
      <c r="C7" s="34">
        <v>26</v>
      </c>
      <c r="D7" s="35">
        <f t="shared" ref="D7:D20" si="0">1-(C7/26)</f>
        <v>0</v>
      </c>
      <c r="E7" s="26" t="s">
        <v>57</v>
      </c>
    </row>
    <row r="8" spans="1:5" ht="15" customHeight="1" x14ac:dyDescent="0.35">
      <c r="A8" s="32" t="s">
        <v>58</v>
      </c>
      <c r="B8" s="36">
        <v>24.1</v>
      </c>
      <c r="C8" s="37">
        <v>26</v>
      </c>
      <c r="D8" s="38">
        <f t="shared" si="0"/>
        <v>0</v>
      </c>
      <c r="E8" s="27"/>
    </row>
    <row r="9" spans="1:5" ht="15" customHeight="1" x14ac:dyDescent="0.35">
      <c r="A9" s="32" t="s">
        <v>59</v>
      </c>
      <c r="B9" s="33">
        <v>22.3</v>
      </c>
      <c r="C9" s="39">
        <v>21</v>
      </c>
      <c r="D9" s="35">
        <f t="shared" si="0"/>
        <v>0.19230769230769229</v>
      </c>
      <c r="E9" s="26" t="s">
        <v>60</v>
      </c>
    </row>
    <row r="10" spans="1:5" ht="15" customHeight="1" x14ac:dyDescent="0.35">
      <c r="A10" s="32" t="s">
        <v>61</v>
      </c>
      <c r="B10" s="36">
        <v>20.399999999999999</v>
      </c>
      <c r="C10" s="40">
        <v>21</v>
      </c>
      <c r="D10" s="38">
        <f t="shared" si="0"/>
        <v>0.19230769230769229</v>
      </c>
      <c r="E10" s="27"/>
    </row>
    <row r="11" spans="1:5" ht="23.25" customHeight="1" x14ac:dyDescent="0.35">
      <c r="A11" s="32" t="s">
        <v>62</v>
      </c>
      <c r="B11" s="33">
        <v>18.600000000000001</v>
      </c>
      <c r="C11" s="39">
        <v>16</v>
      </c>
      <c r="D11" s="35">
        <f t="shared" si="0"/>
        <v>0.38461538461538458</v>
      </c>
      <c r="E11" s="26" t="s">
        <v>63</v>
      </c>
    </row>
    <row r="12" spans="1:5" ht="15" customHeight="1" x14ac:dyDescent="0.35">
      <c r="A12" s="32" t="s">
        <v>64</v>
      </c>
      <c r="B12" s="36">
        <v>16.7</v>
      </c>
      <c r="C12" s="41">
        <v>16</v>
      </c>
      <c r="D12" s="38">
        <f t="shared" si="0"/>
        <v>0.38461538461538458</v>
      </c>
      <c r="E12" s="27"/>
    </row>
    <row r="13" spans="1:5" ht="15" customHeight="1" x14ac:dyDescent="0.35">
      <c r="A13" s="32" t="s">
        <v>65</v>
      </c>
      <c r="B13" s="33">
        <v>14.9</v>
      </c>
      <c r="C13" s="39">
        <v>9</v>
      </c>
      <c r="D13" s="35">
        <f t="shared" si="0"/>
        <v>0.65384615384615385</v>
      </c>
      <c r="E13" s="26" t="s">
        <v>66</v>
      </c>
    </row>
    <row r="14" spans="1:5" ht="15" customHeight="1" x14ac:dyDescent="0.35">
      <c r="A14" s="32" t="s">
        <v>67</v>
      </c>
      <c r="B14" s="36">
        <v>13</v>
      </c>
      <c r="C14" s="41">
        <v>9</v>
      </c>
      <c r="D14" s="38">
        <f t="shared" si="0"/>
        <v>0.65384615384615385</v>
      </c>
      <c r="E14" s="27"/>
    </row>
    <row r="15" spans="1:5" ht="15" customHeight="1" x14ac:dyDescent="0.35">
      <c r="A15" s="32" t="s">
        <v>68</v>
      </c>
      <c r="B15" s="33">
        <v>11.1</v>
      </c>
      <c r="C15" s="39">
        <v>3</v>
      </c>
      <c r="D15" s="35">
        <f t="shared" si="0"/>
        <v>0.88461538461538458</v>
      </c>
      <c r="E15" s="26" t="s">
        <v>69</v>
      </c>
    </row>
    <row r="16" spans="1:5" ht="15" customHeight="1" x14ac:dyDescent="0.35">
      <c r="A16" s="32" t="s">
        <v>70</v>
      </c>
      <c r="B16" s="36">
        <v>9.3000000000000007</v>
      </c>
      <c r="C16" s="41">
        <v>3</v>
      </c>
      <c r="D16" s="38">
        <f t="shared" si="0"/>
        <v>0.88461538461538458</v>
      </c>
      <c r="E16" s="27"/>
    </row>
    <row r="17" spans="1:5" ht="15" customHeight="1" x14ac:dyDescent="0.35">
      <c r="A17" s="32" t="s">
        <v>71</v>
      </c>
      <c r="B17" s="33">
        <v>7.4</v>
      </c>
      <c r="C17" s="20">
        <v>0</v>
      </c>
      <c r="D17" s="35">
        <f t="shared" si="0"/>
        <v>1</v>
      </c>
      <c r="E17" s="26" t="s">
        <v>72</v>
      </c>
    </row>
    <row r="18" spans="1:5" ht="15" customHeight="1" x14ac:dyDescent="0.35">
      <c r="A18" s="32" t="s">
        <v>73</v>
      </c>
      <c r="B18" s="36">
        <v>5.6</v>
      </c>
      <c r="C18" s="20">
        <v>0</v>
      </c>
      <c r="D18" s="38">
        <f t="shared" si="0"/>
        <v>1</v>
      </c>
      <c r="E18" s="27"/>
    </row>
    <row r="19" spans="1:5" ht="15" customHeight="1" x14ac:dyDescent="0.35">
      <c r="A19" s="32" t="s">
        <v>74</v>
      </c>
      <c r="B19" s="33">
        <v>3.7</v>
      </c>
      <c r="C19" s="20">
        <v>0</v>
      </c>
      <c r="D19" s="35">
        <f t="shared" si="0"/>
        <v>1</v>
      </c>
      <c r="E19" s="26" t="s">
        <v>75</v>
      </c>
    </row>
    <row r="20" spans="1:5" ht="15" customHeight="1" x14ac:dyDescent="0.35">
      <c r="A20" s="32" t="s">
        <v>76</v>
      </c>
      <c r="B20" s="36">
        <v>1.9</v>
      </c>
      <c r="C20" s="20">
        <v>0</v>
      </c>
      <c r="D20" s="38">
        <f t="shared" si="0"/>
        <v>1</v>
      </c>
      <c r="E20" s="27" t="s">
        <v>77</v>
      </c>
    </row>
  </sheetData>
  <mergeCells count="3">
    <mergeCell ref="A1:E1"/>
    <mergeCell ref="A2:E2"/>
    <mergeCell ref="A4:E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10" customWidth="1"/>
    <col min="2" max="2" width="30" customWidth="1"/>
    <col min="3" max="6" width="12" customWidth="1"/>
    <col min="7" max="7" width="14" customWidth="1"/>
    <col min="8" max="8" width="20" customWidth="1"/>
  </cols>
  <sheetData>
    <row r="1" spans="1:8" ht="30" customHeight="1" x14ac:dyDescent="0.35">
      <c r="A1" s="3" t="s">
        <v>78</v>
      </c>
      <c r="B1" s="3"/>
      <c r="C1" s="3"/>
      <c r="D1" s="3"/>
      <c r="E1" s="3"/>
      <c r="F1" s="3"/>
      <c r="G1" s="3"/>
      <c r="H1" s="3"/>
    </row>
    <row r="2" spans="1:8" ht="18" customHeight="1" x14ac:dyDescent="0.35">
      <c r="A2" s="10" t="s">
        <v>79</v>
      </c>
      <c r="B2" s="10"/>
      <c r="C2" s="10"/>
      <c r="D2" s="10"/>
      <c r="E2" s="10"/>
      <c r="F2" s="10"/>
      <c r="G2" s="10"/>
      <c r="H2" s="10"/>
    </row>
    <row r="3" spans="1:8" ht="6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27.75" customHeight="1" x14ac:dyDescent="0.35">
      <c r="A4" s="13" t="s">
        <v>3</v>
      </c>
      <c r="B4" s="13" t="s">
        <v>80</v>
      </c>
      <c r="C4" s="13" t="s">
        <v>4</v>
      </c>
      <c r="D4" s="13" t="s">
        <v>5</v>
      </c>
      <c r="E4" s="13" t="s">
        <v>81</v>
      </c>
      <c r="F4" s="13" t="s">
        <v>82</v>
      </c>
      <c r="G4" s="13" t="s">
        <v>83</v>
      </c>
      <c r="H4" s="13" t="s">
        <v>23</v>
      </c>
    </row>
    <row r="5" spans="1:8" ht="23.25" customHeight="1" x14ac:dyDescent="0.35">
      <c r="A5" s="13" t="s">
        <v>84</v>
      </c>
      <c r="B5" s="30" t="s">
        <v>85</v>
      </c>
      <c r="C5" s="15">
        <v>3</v>
      </c>
      <c r="D5" s="15">
        <v>3</v>
      </c>
      <c r="E5" s="20" t="s">
        <v>86</v>
      </c>
      <c r="F5" s="15">
        <v>3</v>
      </c>
      <c r="G5" s="42" t="s">
        <v>87</v>
      </c>
      <c r="H5" s="30" t="s">
        <v>88</v>
      </c>
    </row>
    <row r="6" spans="1:8" ht="23.25" customHeight="1" x14ac:dyDescent="0.35">
      <c r="A6" s="13" t="s">
        <v>84</v>
      </c>
      <c r="B6" s="31" t="s">
        <v>89</v>
      </c>
      <c r="C6" s="18">
        <v>2</v>
      </c>
      <c r="D6" s="18">
        <v>2</v>
      </c>
      <c r="E6" s="20" t="s">
        <v>86</v>
      </c>
      <c r="F6" s="18">
        <v>1</v>
      </c>
      <c r="G6" s="42" t="s">
        <v>87</v>
      </c>
      <c r="H6" s="31" t="s">
        <v>90</v>
      </c>
    </row>
    <row r="7" spans="1:8" ht="15" customHeight="1" x14ac:dyDescent="0.35">
      <c r="A7" s="13" t="s">
        <v>84</v>
      </c>
      <c r="B7" s="30" t="s">
        <v>91</v>
      </c>
      <c r="C7" s="15">
        <v>3</v>
      </c>
      <c r="D7" s="15">
        <v>3</v>
      </c>
      <c r="E7" s="20" t="s">
        <v>86</v>
      </c>
      <c r="F7" s="15">
        <v>1</v>
      </c>
      <c r="G7" s="42" t="s">
        <v>87</v>
      </c>
      <c r="H7" s="30" t="s">
        <v>92</v>
      </c>
    </row>
    <row r="8" spans="1:8" ht="23.25" customHeight="1" x14ac:dyDescent="0.35">
      <c r="A8" s="13" t="s">
        <v>84</v>
      </c>
      <c r="B8" s="31" t="s">
        <v>93</v>
      </c>
      <c r="C8" s="18">
        <v>2</v>
      </c>
      <c r="D8" s="18">
        <v>2</v>
      </c>
      <c r="E8" s="20" t="s">
        <v>86</v>
      </c>
      <c r="F8" s="18">
        <v>1</v>
      </c>
      <c r="G8" s="42" t="s">
        <v>87</v>
      </c>
      <c r="H8" s="31" t="s">
        <v>94</v>
      </c>
    </row>
    <row r="9" spans="1:8" ht="15" customHeight="1" x14ac:dyDescent="0.35">
      <c r="A9" s="13" t="s">
        <v>84</v>
      </c>
      <c r="B9" s="30" t="s">
        <v>95</v>
      </c>
      <c r="C9" s="15">
        <v>5</v>
      </c>
      <c r="D9" s="15">
        <v>5</v>
      </c>
      <c r="E9" s="20" t="s">
        <v>86</v>
      </c>
      <c r="F9" s="15">
        <v>2</v>
      </c>
      <c r="G9" s="42" t="s">
        <v>87</v>
      </c>
      <c r="H9" s="30" t="s">
        <v>96</v>
      </c>
    </row>
    <row r="10" spans="1:8" ht="15" customHeight="1" x14ac:dyDescent="0.35">
      <c r="A10" s="13" t="s">
        <v>84</v>
      </c>
      <c r="B10" s="31" t="s">
        <v>97</v>
      </c>
      <c r="C10" s="18">
        <v>2</v>
      </c>
      <c r="D10" s="18">
        <v>2</v>
      </c>
      <c r="E10" s="20" t="s">
        <v>86</v>
      </c>
      <c r="F10" s="18">
        <v>1</v>
      </c>
      <c r="G10" s="42" t="s">
        <v>87</v>
      </c>
      <c r="H10" s="31" t="s">
        <v>98</v>
      </c>
    </row>
    <row r="11" spans="1:8" ht="23.25" customHeight="1" x14ac:dyDescent="0.35">
      <c r="A11" s="13" t="s">
        <v>84</v>
      </c>
      <c r="B11" s="30" t="s">
        <v>99</v>
      </c>
      <c r="C11" s="15">
        <v>3</v>
      </c>
      <c r="D11" s="15">
        <v>3</v>
      </c>
      <c r="E11" s="20" t="s">
        <v>86</v>
      </c>
      <c r="F11" s="15">
        <v>2</v>
      </c>
      <c r="G11" s="42" t="s">
        <v>87</v>
      </c>
      <c r="H11" s="30" t="s">
        <v>100</v>
      </c>
    </row>
    <row r="12" spans="1:8" ht="23.25" customHeight="1" x14ac:dyDescent="0.35">
      <c r="A12" s="13" t="s">
        <v>84</v>
      </c>
      <c r="B12" s="31" t="s">
        <v>101</v>
      </c>
      <c r="C12" s="18">
        <v>3</v>
      </c>
      <c r="D12" s="18">
        <v>3</v>
      </c>
      <c r="E12" s="20" t="s">
        <v>86</v>
      </c>
      <c r="F12" s="18">
        <v>1</v>
      </c>
      <c r="G12" s="42" t="s">
        <v>87</v>
      </c>
      <c r="H12" s="31" t="s">
        <v>102</v>
      </c>
    </row>
    <row r="13" spans="1:8" ht="23.25" customHeight="1" x14ac:dyDescent="0.35">
      <c r="A13" s="13" t="s">
        <v>84</v>
      </c>
      <c r="B13" s="30" t="s">
        <v>103</v>
      </c>
      <c r="C13" s="15">
        <v>5</v>
      </c>
      <c r="D13" s="15">
        <v>5</v>
      </c>
      <c r="E13" s="20" t="s">
        <v>86</v>
      </c>
      <c r="F13" s="15">
        <v>2</v>
      </c>
      <c r="G13" s="42" t="s">
        <v>87</v>
      </c>
      <c r="H13" s="30" t="s">
        <v>104</v>
      </c>
    </row>
    <row r="14" spans="1:8" ht="15" customHeight="1" x14ac:dyDescent="0.35">
      <c r="A14" s="13" t="s">
        <v>84</v>
      </c>
      <c r="B14" s="31" t="s">
        <v>105</v>
      </c>
      <c r="C14" s="18">
        <v>5</v>
      </c>
      <c r="D14" s="18">
        <v>5</v>
      </c>
      <c r="E14" s="20" t="s">
        <v>86</v>
      </c>
      <c r="F14" s="18">
        <v>2</v>
      </c>
      <c r="G14" s="42" t="s">
        <v>87</v>
      </c>
      <c r="H14" s="31" t="s">
        <v>106</v>
      </c>
    </row>
    <row r="15" spans="1:8" ht="23.25" customHeight="1" x14ac:dyDescent="0.35">
      <c r="A15" s="23" t="s">
        <v>13</v>
      </c>
      <c r="B15" s="23" t="s">
        <v>107</v>
      </c>
      <c r="C15" s="23">
        <f>SUM(C5:C14)</f>
        <v>33</v>
      </c>
      <c r="D15" s="23">
        <f>SUM(D5:D14)</f>
        <v>33</v>
      </c>
      <c r="E15" s="23" t="str">
        <f>IF(D15=C15,"Complete","Partial")</f>
        <v>Complete</v>
      </c>
      <c r="F15" s="23">
        <f>SUM(F5:F14)</f>
        <v>16</v>
      </c>
      <c r="G15" s="23">
        <f>COUNTIF(G5:G14,"Yes")</f>
        <v>0</v>
      </c>
      <c r="H15" s="43" t="s">
        <v>108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30" customWidth="1"/>
    <col min="4" max="4" width="16" customWidth="1"/>
    <col min="5" max="6" width="14" customWidth="1"/>
    <col min="7" max="7" width="16" customWidth="1"/>
    <col min="8" max="8" width="20" customWidth="1"/>
  </cols>
  <sheetData>
    <row r="1" spans="1:8" ht="30" customHeight="1" x14ac:dyDescent="0.35">
      <c r="A1" s="3" t="s">
        <v>109</v>
      </c>
      <c r="B1" s="3"/>
      <c r="C1" s="3"/>
      <c r="D1" s="3"/>
      <c r="E1" s="3"/>
      <c r="F1" s="3"/>
      <c r="G1" s="3"/>
      <c r="H1" s="3"/>
    </row>
    <row r="2" spans="1:8" ht="18" customHeight="1" x14ac:dyDescent="0.35">
      <c r="A2" s="10" t="s">
        <v>110</v>
      </c>
      <c r="B2" s="10"/>
      <c r="C2" s="10"/>
      <c r="D2" s="10"/>
      <c r="E2" s="10"/>
      <c r="F2" s="10"/>
      <c r="G2" s="10"/>
      <c r="H2" s="10"/>
    </row>
    <row r="3" spans="1:8" ht="6" customHeight="1" x14ac:dyDescent="0.35">
      <c r="A3" s="12"/>
      <c r="B3" s="12"/>
      <c r="C3" s="12"/>
      <c r="D3" s="12"/>
      <c r="E3" s="12"/>
      <c r="F3" s="12"/>
      <c r="G3" s="12"/>
      <c r="H3" s="12"/>
    </row>
    <row r="4" spans="1:8" ht="27.75" customHeight="1" x14ac:dyDescent="0.35">
      <c r="A4" s="13" t="s">
        <v>111</v>
      </c>
      <c r="B4" s="13" t="s">
        <v>112</v>
      </c>
      <c r="C4" s="13" t="s">
        <v>113</v>
      </c>
      <c r="D4" s="13" t="s">
        <v>114</v>
      </c>
      <c r="E4" s="13" t="s">
        <v>115</v>
      </c>
      <c r="F4" s="13" t="s">
        <v>116</v>
      </c>
      <c r="G4" s="13" t="s">
        <v>117</v>
      </c>
      <c r="H4" s="13" t="s">
        <v>118</v>
      </c>
    </row>
    <row r="5" spans="1:8" ht="34.5" customHeight="1" x14ac:dyDescent="0.35">
      <c r="A5" s="13">
        <v>1</v>
      </c>
      <c r="B5" s="15" t="s">
        <v>84</v>
      </c>
      <c r="C5" s="30" t="s">
        <v>119</v>
      </c>
      <c r="D5" s="44" t="s">
        <v>120</v>
      </c>
      <c r="E5" s="15" t="s">
        <v>121</v>
      </c>
      <c r="F5" s="15" t="s">
        <v>84</v>
      </c>
      <c r="G5" s="30" t="s">
        <v>122</v>
      </c>
      <c r="H5" s="30" t="s">
        <v>123</v>
      </c>
    </row>
    <row r="6" spans="1:8" ht="45.75" customHeight="1" x14ac:dyDescent="0.35">
      <c r="A6" s="13">
        <v>2</v>
      </c>
      <c r="B6" s="18" t="s">
        <v>84</v>
      </c>
      <c r="C6" s="31" t="s">
        <v>124</v>
      </c>
      <c r="D6" s="45" t="s">
        <v>125</v>
      </c>
      <c r="E6" s="18" t="s">
        <v>126</v>
      </c>
      <c r="F6" s="18" t="s">
        <v>84</v>
      </c>
      <c r="G6" s="31" t="s">
        <v>127</v>
      </c>
      <c r="H6" s="31" t="s">
        <v>128</v>
      </c>
    </row>
    <row r="7" spans="1:8" ht="15" customHeight="1" x14ac:dyDescent="0.35">
      <c r="A7" s="46">
        <v>3</v>
      </c>
      <c r="B7" s="46"/>
      <c r="C7" s="47"/>
      <c r="D7" s="46"/>
      <c r="E7" s="46"/>
      <c r="F7" s="46"/>
      <c r="G7" s="47"/>
      <c r="H7" s="47"/>
    </row>
    <row r="8" spans="1:8" ht="15" customHeight="1" x14ac:dyDescent="0.35">
      <c r="A8" s="46">
        <v>4</v>
      </c>
      <c r="B8" s="46"/>
      <c r="C8" s="47"/>
      <c r="D8" s="46"/>
      <c r="E8" s="46"/>
      <c r="F8" s="46"/>
      <c r="G8" s="47"/>
      <c r="H8" s="47"/>
    </row>
    <row r="9" spans="1:8" ht="15" customHeight="1" x14ac:dyDescent="0.35">
      <c r="A9" s="46">
        <v>5</v>
      </c>
      <c r="B9" s="46"/>
      <c r="C9" s="47"/>
      <c r="D9" s="46"/>
      <c r="E9" s="46"/>
      <c r="F9" s="46"/>
      <c r="G9" s="47"/>
      <c r="H9" s="47"/>
    </row>
    <row r="10" spans="1:8" ht="6" customHeight="1" x14ac:dyDescent="0.35">
      <c r="A10" s="12"/>
      <c r="B10" s="12"/>
      <c r="C10" s="12"/>
      <c r="D10" s="12"/>
      <c r="E10" s="12"/>
      <c r="F10" s="12"/>
      <c r="G10" s="12"/>
      <c r="H10" s="12"/>
    </row>
    <row r="11" spans="1:8" ht="15" customHeight="1" x14ac:dyDescent="0.35">
      <c r="A11" s="9" t="s">
        <v>129</v>
      </c>
      <c r="B11" s="9"/>
      <c r="C11" s="9"/>
      <c r="D11" s="9"/>
      <c r="E11" s="9"/>
      <c r="F11" s="9"/>
      <c r="G11" s="9"/>
      <c r="H11" s="9"/>
    </row>
    <row r="12" spans="1:8" ht="15" customHeight="1" x14ac:dyDescent="0.35">
      <c r="A12" s="1" t="s">
        <v>130</v>
      </c>
      <c r="B12" s="1"/>
      <c r="C12" s="1"/>
      <c r="D12" s="25">
        <f>COUNTA(B5:B9)-COUNTIF(B5:B9,"")</f>
        <v>-1</v>
      </c>
    </row>
    <row r="13" spans="1:8" ht="15" customHeight="1" x14ac:dyDescent="0.35">
      <c r="A13" s="1" t="s">
        <v>131</v>
      </c>
      <c r="B13" s="1"/>
      <c r="C13" s="1"/>
      <c r="D13" s="25">
        <f>COUNTIF(D5:D9,"High")</f>
        <v>0</v>
      </c>
    </row>
    <row r="14" spans="1:8" ht="15" customHeight="1" x14ac:dyDescent="0.35">
      <c r="A14" s="1" t="s">
        <v>132</v>
      </c>
      <c r="B14" s="1"/>
      <c r="C14" s="1"/>
      <c r="D14" s="25">
        <f>COUNTIF(D5:D9,"Medium")</f>
        <v>1</v>
      </c>
    </row>
    <row r="15" spans="1:8" ht="15" customHeight="1" x14ac:dyDescent="0.35">
      <c r="A15" s="1" t="s">
        <v>133</v>
      </c>
      <c r="B15" s="1"/>
      <c r="C15" s="1"/>
      <c r="D15" s="25">
        <f>COUNTIF(D5:D9,"Low")</f>
        <v>1</v>
      </c>
    </row>
    <row r="16" spans="1:8" ht="15" customHeight="1" x14ac:dyDescent="0.35">
      <c r="A16" s="1" t="s">
        <v>134</v>
      </c>
      <c r="B16" s="1"/>
      <c r="C16" s="1"/>
      <c r="D16" s="25">
        <f>COUNTA(G5:G9)-COUNTIF(G5:G9,"")</f>
        <v>-1</v>
      </c>
    </row>
  </sheetData>
  <mergeCells count="8">
    <mergeCell ref="A14:C14"/>
    <mergeCell ref="A15:C15"/>
    <mergeCell ref="A16:C16"/>
    <mergeCell ref="A1:H1"/>
    <mergeCell ref="A2:H2"/>
    <mergeCell ref="A11:H11"/>
    <mergeCell ref="A12:C12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showGridLines="0" tabSelected="1" zoomScaleNormal="100" workbookViewId="0">
      <selection sqref="A1:E1"/>
    </sheetView>
  </sheetViews>
  <sheetFormatPr defaultColWidth="8.6328125" defaultRowHeight="14.5" x14ac:dyDescent="0.35"/>
  <cols>
    <col min="1" max="1" width="10" customWidth="1"/>
    <col min="2" max="2" width="16" customWidth="1"/>
    <col min="3" max="4" width="35" customWidth="1"/>
    <col min="5" max="5" width="14" customWidth="1"/>
  </cols>
  <sheetData>
    <row r="1" spans="1:5" ht="30" customHeight="1" x14ac:dyDescent="0.35">
      <c r="A1" s="3" t="s">
        <v>135</v>
      </c>
      <c r="B1" s="3"/>
      <c r="C1" s="3"/>
      <c r="D1" s="3"/>
      <c r="E1" s="3"/>
    </row>
    <row r="2" spans="1:5" ht="18" customHeight="1" x14ac:dyDescent="0.35">
      <c r="A2" s="10" t="s">
        <v>136</v>
      </c>
      <c r="B2" s="10"/>
      <c r="C2" s="10"/>
      <c r="D2" s="10"/>
      <c r="E2" s="10"/>
    </row>
    <row r="3" spans="1:5" ht="6" customHeight="1" x14ac:dyDescent="0.35">
      <c r="A3" s="12"/>
      <c r="B3" s="12"/>
      <c r="C3" s="12"/>
      <c r="D3" s="12"/>
      <c r="E3" s="12"/>
    </row>
    <row r="4" spans="1:5" ht="27.75" customHeight="1" x14ac:dyDescent="0.35">
      <c r="A4" s="13" t="s">
        <v>3</v>
      </c>
      <c r="B4" s="13" t="s">
        <v>137</v>
      </c>
      <c r="C4" s="13" t="s">
        <v>138</v>
      </c>
      <c r="D4" s="13" t="s">
        <v>139</v>
      </c>
      <c r="E4" s="13" t="s">
        <v>140</v>
      </c>
    </row>
    <row r="5" spans="1:5" ht="36" customHeight="1" x14ac:dyDescent="0.35">
      <c r="A5" s="13" t="s">
        <v>84</v>
      </c>
      <c r="B5" s="20" t="s">
        <v>141</v>
      </c>
      <c r="C5" s="30" t="s">
        <v>142</v>
      </c>
      <c r="D5" s="30" t="s">
        <v>143</v>
      </c>
      <c r="E5" s="20" t="s">
        <v>14</v>
      </c>
    </row>
    <row r="6" spans="1:5" ht="36" customHeight="1" x14ac:dyDescent="0.35">
      <c r="A6" s="13" t="s">
        <v>84</v>
      </c>
      <c r="B6" s="20" t="s">
        <v>141</v>
      </c>
      <c r="C6" s="31" t="s">
        <v>144</v>
      </c>
      <c r="D6" s="31" t="s">
        <v>145</v>
      </c>
      <c r="E6" s="20" t="s">
        <v>14</v>
      </c>
    </row>
    <row r="7" spans="1:5" ht="36" customHeight="1" x14ac:dyDescent="0.35">
      <c r="A7" s="13" t="s">
        <v>84</v>
      </c>
      <c r="B7" s="20" t="s">
        <v>141</v>
      </c>
      <c r="C7" s="30" t="s">
        <v>146</v>
      </c>
      <c r="D7" s="30" t="s">
        <v>147</v>
      </c>
      <c r="E7" s="20" t="s">
        <v>14</v>
      </c>
    </row>
    <row r="8" spans="1:5" ht="36" customHeight="1" x14ac:dyDescent="0.35">
      <c r="A8" s="13" t="s">
        <v>84</v>
      </c>
      <c r="B8" s="45" t="s">
        <v>148</v>
      </c>
      <c r="C8" s="31" t="s">
        <v>149</v>
      </c>
      <c r="D8" s="31" t="s">
        <v>150</v>
      </c>
      <c r="E8" s="48" t="s">
        <v>151</v>
      </c>
    </row>
    <row r="9" spans="1:5" ht="36" customHeight="1" x14ac:dyDescent="0.35">
      <c r="A9" s="13" t="s">
        <v>84</v>
      </c>
      <c r="B9" s="45" t="s">
        <v>148</v>
      </c>
      <c r="C9" s="30" t="s">
        <v>152</v>
      </c>
      <c r="D9" s="30" t="s">
        <v>153</v>
      </c>
      <c r="E9" s="48" t="s">
        <v>151</v>
      </c>
    </row>
    <row r="10" spans="1:5" ht="36" customHeight="1" x14ac:dyDescent="0.35">
      <c r="A10" s="13" t="s">
        <v>84</v>
      </c>
      <c r="B10" s="45" t="s">
        <v>148</v>
      </c>
      <c r="C10" s="31" t="s">
        <v>154</v>
      </c>
      <c r="D10" s="31" t="s">
        <v>155</v>
      </c>
      <c r="E10" s="48" t="s">
        <v>151</v>
      </c>
    </row>
    <row r="11" spans="1:5" ht="36" customHeight="1" x14ac:dyDescent="0.35">
      <c r="A11" s="13" t="s">
        <v>84</v>
      </c>
      <c r="B11" s="49" t="s">
        <v>156</v>
      </c>
      <c r="C11" s="30" t="s">
        <v>157</v>
      </c>
      <c r="D11" s="30" t="s">
        <v>158</v>
      </c>
      <c r="E11" s="48" t="s">
        <v>151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Burndown</vt:lpstr>
      <vt:lpstr>Sprint Log</vt:lpstr>
      <vt:lpstr>Defect Tracker</vt:lpstr>
      <vt:lpstr>Retrospective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 vaal</cp:lastModifiedBy>
  <cp:revision>4</cp:revision>
  <dcterms:created xsi:type="dcterms:W3CDTF">2026-05-04T00:42:24Z</dcterms:created>
  <dcterms:modified xsi:type="dcterms:W3CDTF">2026-05-04T00:52:23Z</dcterms:modified>
  <dc:language>en-US</dc:language>
</cp:coreProperties>
</file>